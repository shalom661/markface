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K FACE HUB\"/>
    </mc:Choice>
  </mc:AlternateContent>
  <xr:revisionPtr revIDLastSave="0" documentId="8_{E1422DA3-9784-4420-A7D2-54432D0C348F}" xr6:coauthVersionLast="47" xr6:coauthVersionMax="47" xr10:uidLastSave="{00000000-0000-0000-0000-000000000000}"/>
  <bookViews>
    <workbookView xWindow="28680" yWindow="-120" windowWidth="29040" windowHeight="15720" xr2:uid="{77019D28-2697-4329-9257-E48DA98695BD}"/>
    <workbookView xWindow="-120" yWindow="-120" windowWidth="29040" windowHeight="15720" xr2:uid="{2DE6B76E-2204-4448-9BAA-C3B7E4D0701D}"/>
  </bookViews>
  <sheets>
    <sheet name="MATÉRIA PRIMA" sheetId="2" r:id="rId1"/>
    <sheet name="DADOS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 a="1"/>
  <c r="B8" i="2" s="1"/>
  <c r="B5" i="2" a="1"/>
  <c r="B5" i="2" s="1"/>
  <c r="B2" i="2" a="1"/>
  <c r="B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<sst xmlns="http://schemas.openxmlformats.org/spreadsheetml/2006/main" count="62" uniqueCount="44">
  <si>
    <t>GERAL</t>
  </si>
  <si>
    <t>DATA</t>
  </si>
  <si>
    <t>CATEGORIA</t>
  </si>
  <si>
    <t>SUB-CATEGORIA</t>
  </si>
  <si>
    <t>DESCRIÇÃO</t>
  </si>
  <si>
    <t>CÓDIGO INTERNO</t>
  </si>
  <si>
    <t>FORNECEDOR</t>
  </si>
  <si>
    <t>UNIDADE DE MEDIDA</t>
  </si>
  <si>
    <t>VALOR POR UNIDADE</t>
  </si>
  <si>
    <t>COR</t>
  </si>
  <si>
    <t>COMPOSIÇÃO (MATERIAL)</t>
  </si>
  <si>
    <t>PEDIDO MÍNIMO</t>
  </si>
  <si>
    <t>TECIDOS</t>
  </si>
  <si>
    <t>TIPO DE TECIDO</t>
  </si>
  <si>
    <t>LARGURA</t>
  </si>
  <si>
    <t>GRAMATURA</t>
  </si>
  <si>
    <t>ESTAMPA</t>
  </si>
  <si>
    <t>INFO PARA ETIQUETA</t>
  </si>
  <si>
    <t>BOTÕES</t>
  </si>
  <si>
    <t>TIPO</t>
  </si>
  <si>
    <t>TAMANHO</t>
  </si>
  <si>
    <t>FUROS</t>
  </si>
  <si>
    <t>TEM PEZINHO</t>
  </si>
  <si>
    <t>ZÍPER</t>
  </si>
  <si>
    <t>COMPRIMENTO</t>
  </si>
  <si>
    <t>CURSOR</t>
  </si>
  <si>
    <t>COR DOS DENTES</t>
  </si>
  <si>
    <t>COR DO CURSOR</t>
  </si>
  <si>
    <t>ELÁSTICO</t>
  </si>
  <si>
    <t>LINHA</t>
  </si>
  <si>
    <t>RESISTÊNCIA</t>
  </si>
  <si>
    <t>APLICAÇÃO (overlock, reta, galoneira, bordado)</t>
  </si>
  <si>
    <t>ESPESSURA</t>
  </si>
  <si>
    <t>NÚMERO DE CABOS</t>
  </si>
  <si>
    <t>ETIQUETA</t>
  </si>
  <si>
    <t>BORDADO</t>
  </si>
  <si>
    <t>NÚMERO DE PONTOS</t>
  </si>
  <si>
    <t>EMBALAGEM</t>
  </si>
  <si>
    <t>FIO DE ACABAMENTO</t>
  </si>
  <si>
    <t>DIÂMETRO</t>
  </si>
  <si>
    <t>RENDA</t>
  </si>
  <si>
    <t>GOLA</t>
  </si>
  <si>
    <t>RENDIMENTO</t>
  </si>
  <si>
    <t>CÓDIGO DO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</si>
</sst>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BEC1-10A6-48EE-95E4-C7AB73E28AF8}">
  <dimension ref="B2:H8"/>
  <sheetViews>
    <sheetView tabSelected="1" workbookViewId="0"/>
    <sheetView tabSelected="1" workbookViewId="1">
      <selection activeCell="C18" sqref="C18"/>
    </sheetView>
  </sheetViews>
  <sheetFormatPr defaultColWidth="21.42578125" defaultRowHeight="15" x14ac:dyDescent="0.25"/>
  <cols>
    <col min="1" max="1" width="2.140625" style="1" customWidth="1"/>
    <col min="2" max="3" width="21.42578125" style="1"/>
    <col min="4" max="4" width="19.7109375" style="1" bestFit="1" customWidth="1"/>
    <col min="5" max="7" width="21.42578125" style="1"/>
    <col min="8" max="8" width="25.85546875" style="1" customWidth="1"/>
    <col min="9" max="12" width="21.42578125" style="1"/>
    <col min="13" max="13" width="23.7109375" style="1" bestFit="1" customWidth="1"/>
    <col min="14" max="16384" width="21.42578125" style="1"/>
  </cols>
  <sheetData>
    <row r="2" spans="2:8" x14ac:dyDescent="0.25">
      <c r="B2" s="1" t="str" cm="1">
        <f t="array" ref="B2:H2">DADOS!B2:H2</f>
        <v>GERAL</v>
      </c>
      <c r="C2" s="1" t="str">
        <v>DATA</v>
      </c>
      <c r="D2" s="1" t="str">
        <v>CATEGORIA</v>
      </c>
      <c r="E2" s="1" t="str">
        <v>SUB-CATEGORIA</v>
      </c>
      <c r="F2" s="1" t="str">
        <v>DESCRIÇÃO</v>
      </c>
      <c r="G2" s="1" t="str">
        <v>CÓDIGO INTERNO</v>
      </c>
      <c r="H2" s="1" t="str">
        <v>CÓDIGO DO FORNECEDOR</v>
      </c>
    </row>
    <row r="5" spans="2:8" x14ac:dyDescent="0.25">
      <c r="B5" s="1" t="str" cm="1">
        <f t="array" ref="B5:G5">DADOS!I2:N2</f>
        <v>FORNECEDOR</v>
      </c>
      <c r="C5" s="1" t="str">
        <v>UNIDADE DE MEDIDA</v>
      </c>
      <c r="D5" s="1" t="str">
        <v>VALOR POR UNIDADE</v>
      </c>
      <c r="E5" s="1" t="str">
        <v>COR</v>
      </c>
      <c r="F5" s="1" t="str">
        <v>COMPOSIÇÃO (MATERIAL)</v>
      </c>
      <c r="G5" s="1" t="str">
        <v>PEDIDO MÍNIMO</v>
      </c>
    </row>
    <row r="8" spans="2:8" x14ac:dyDescent="0.25">
      <c r="B8" s="1" t="str" cm="1">
        <f t="array" ref="B8">IFERROR(TRANSPOSE(_xlfn._xlws.FILTER(TRANSPOSE(IF(IFERROR(_xlfn.XLOOKUP(D3,DADOS!B:B,DADOS!C:H),"")&lt;&gt;"",IFERROR(_xlfn.XLOOKUP(D3,DADOS!B:B,DADOS!C:H),""),"")),TRANSPOSE(IF(IFERROR(_xlfn.XLOOKUP(D3,DADOS!B:B,DADOS!C:H),"")&lt;&gt;"",IFERROR(_xlfn.XLOOKUP(D3,DADOS!B:B,DADOS!C:H),""),""))&lt;&gt;0)),"PREENCHA CATEGORIA")</f>
        <v>PREENCHA CATEGORIA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E4112E-224E-4BE9-94EA-779BCDBBF58E}">
          <x14:formula1>
            <xm:f>DADOS!$B3:$B13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570E-2D2B-479D-A75A-A4D8BA0B4B39}">
  <dimension ref="B2:N13"/>
  <sheetViews>
    <sheetView workbookViewId="0">
      <selection activeCell="D4" sqref="D4"/>
    </sheetView>
    <sheetView workbookViewId="1">
      <selection activeCell="B2" sqref="B2:N2"/>
    </sheetView>
  </sheetViews>
  <sheetFormatPr defaultRowHeight="15" x14ac:dyDescent="0.25"/>
  <cols>
    <col min="1" max="1" width="9.140625" style="2"/>
    <col min="2" max="2" width="19.5703125" style="2" bestFit="1" customWidth="1"/>
    <col min="3" max="3" width="14.85546875" style="2" bestFit="1" customWidth="1"/>
    <col min="4" max="4" width="43.5703125" style="2" bestFit="1" customWidth="1"/>
    <col min="5" max="5" width="19.7109375" style="2" bestFit="1" customWidth="1"/>
    <col min="6" max="6" width="18.140625" style="2" bestFit="1" customWidth="1"/>
    <col min="7" max="7" width="16.7109375" style="2" bestFit="1" customWidth="1"/>
    <col min="8" max="8" width="36.85546875" style="2" bestFit="1" customWidth="1"/>
    <col min="9" max="9" width="13.140625" style="2" bestFit="1" customWidth="1"/>
    <col min="10" max="10" width="19.28515625" style="2" bestFit="1" customWidth="1"/>
    <col min="11" max="11" width="19.5703125" style="2" bestFit="1" customWidth="1"/>
    <col min="12" max="12" width="4.7109375" style="2" bestFit="1" customWidth="1"/>
    <col min="13" max="13" width="23.7109375" style="2" bestFit="1" customWidth="1"/>
    <col min="14" max="14" width="15.42578125" style="2" bestFit="1" customWidth="1"/>
    <col min="15" max="15" width="14.85546875" style="2" bestFit="1" customWidth="1"/>
    <col min="16" max="16" width="35.5703125" style="2" bestFit="1" customWidth="1"/>
    <col min="17" max="17" width="9" style="2" bestFit="1" customWidth="1"/>
    <col min="18" max="18" width="11.85546875" style="2" bestFit="1" customWidth="1"/>
    <col min="19" max="19" width="9" style="2" bestFit="1" customWidth="1"/>
    <col min="20" max="20" width="19.5703125" style="2" bestFit="1" customWidth="1"/>
    <col min="21" max="21" width="2" style="2" bestFit="1" customWidth="1"/>
    <col min="22" max="22" width="8" style="2" bestFit="1" customWidth="1"/>
    <col min="23" max="23" width="5.140625" style="2" bestFit="1" customWidth="1"/>
    <col min="24" max="24" width="10" style="2" bestFit="1" customWidth="1"/>
    <col min="25" max="25" width="6.85546875" style="2" bestFit="1" customWidth="1"/>
    <col min="26" max="26" width="12.85546875" style="2" bestFit="1" customWidth="1"/>
    <col min="27" max="27" width="2" style="2" bestFit="1" customWidth="1"/>
    <col min="28" max="28" width="5.85546875" style="2" bestFit="1" customWidth="1"/>
    <col min="29" max="29" width="5.140625" style="2" bestFit="1" customWidth="1"/>
    <col min="30" max="30" width="14.5703125" style="2" bestFit="1" customWidth="1"/>
    <col min="31" max="31" width="8.140625" style="2" bestFit="1" customWidth="1"/>
    <col min="32" max="32" width="16.140625" style="2" bestFit="1" customWidth="1"/>
    <col min="33" max="33" width="15.5703125" style="2" bestFit="1" customWidth="1"/>
    <col min="34" max="34" width="2" style="2" bestFit="1" customWidth="1"/>
    <col min="35" max="35" width="9.140625" style="2"/>
    <col min="36" max="36" width="9" style="2" bestFit="1" customWidth="1"/>
    <col min="37" max="37" width="2" style="2" bestFit="1" customWidth="1"/>
    <col min="38" max="38" width="6.28515625" style="2" bestFit="1" customWidth="1"/>
    <col min="39" max="39" width="12" style="2" bestFit="1" customWidth="1"/>
    <col min="40" max="40" width="43.5703125" style="2" bestFit="1" customWidth="1"/>
    <col min="41" max="41" width="10.7109375" style="2" bestFit="1" customWidth="1"/>
    <col min="42" max="42" width="18.140625" style="2" bestFit="1" customWidth="1"/>
    <col min="43" max="43" width="2" style="2" bestFit="1" customWidth="1"/>
    <col min="44" max="44" width="9.42578125" style="2" bestFit="1" customWidth="1"/>
    <col min="45" max="45" width="9" style="2" bestFit="1" customWidth="1"/>
    <col min="46" max="46" width="14.5703125" style="2" bestFit="1" customWidth="1"/>
    <col min="47" max="47" width="2" style="2" bestFit="1" customWidth="1"/>
    <col min="48" max="48" width="9.85546875" style="2" bestFit="1" customWidth="1"/>
    <col min="49" max="49" width="9" style="2" bestFit="1" customWidth="1"/>
    <col min="50" max="50" width="14.5703125" style="2" bestFit="1" customWidth="1"/>
    <col min="51" max="51" width="19.7109375" style="2" bestFit="1" customWidth="1"/>
    <col min="52" max="52" width="2" style="2" bestFit="1" customWidth="1"/>
    <col min="53" max="53" width="11.7109375" style="2" bestFit="1" customWidth="1"/>
    <col min="54" max="54" width="9" style="2" bestFit="1" customWidth="1"/>
    <col min="55" max="55" width="14.5703125" style="2" bestFit="1" customWidth="1"/>
    <col min="56" max="56" width="2" style="2" bestFit="1" customWidth="1"/>
    <col min="57" max="57" width="19.5703125" style="2" bestFit="1" customWidth="1"/>
    <col min="58" max="58" width="5.140625" style="2" bestFit="1" customWidth="1"/>
    <col min="59" max="59" width="9" style="2" bestFit="1" customWidth="1"/>
    <col min="60" max="60" width="14.5703125" style="2" bestFit="1" customWidth="1"/>
    <col min="61" max="61" width="10.140625" style="2" bestFit="1" customWidth="1"/>
    <col min="62" max="62" width="10.7109375" style="2" bestFit="1" customWidth="1"/>
    <col min="63" max="63" width="2" style="2" bestFit="1" customWidth="1"/>
    <col min="64" max="64" width="7" style="2" bestFit="1" customWidth="1"/>
    <col min="65" max="65" width="5.140625" style="2" bestFit="1" customWidth="1"/>
    <col min="66" max="66" width="14.5703125" style="2" bestFit="1" customWidth="1"/>
    <col min="67" max="67" width="2" style="2" bestFit="1" customWidth="1"/>
    <col min="68" max="68" width="5.7109375" style="2" bestFit="1" customWidth="1"/>
    <col min="69" max="69" width="5.140625" style="2" bestFit="1" customWidth="1"/>
    <col min="70" max="70" width="9" style="2" bestFit="1" customWidth="1"/>
    <col min="71" max="71" width="14.5703125" style="2" bestFit="1" customWidth="1"/>
    <col min="72" max="72" width="9" style="2" bestFit="1" customWidth="1"/>
    <col min="73" max="16384" width="9.140625" style="2"/>
  </cols>
  <sheetData>
    <row r="2" spans="2:14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43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</row>
    <row r="3" spans="2:14" x14ac:dyDescent="0.25">
      <c r="B3" s="2" t="s">
        <v>12</v>
      </c>
      <c r="C3" s="2" t="s">
        <v>13</v>
      </c>
      <c r="D3" s="2" t="s">
        <v>42</v>
      </c>
      <c r="E3" s="2" t="s">
        <v>14</v>
      </c>
      <c r="F3" s="2" t="s">
        <v>15</v>
      </c>
      <c r="G3" s="2" t="s">
        <v>16</v>
      </c>
      <c r="H3" s="2" t="s">
        <v>17</v>
      </c>
    </row>
    <row r="4" spans="2:14" x14ac:dyDescent="0.25"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2:14" x14ac:dyDescent="0.25">
      <c r="B5" s="2" t="s">
        <v>23</v>
      </c>
      <c r="C5" s="2" t="s">
        <v>19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2:14" x14ac:dyDescent="0.25">
      <c r="B6" s="2" t="s">
        <v>28</v>
      </c>
      <c r="C6" s="2" t="s">
        <v>14</v>
      </c>
    </row>
    <row r="7" spans="2:14" x14ac:dyDescent="0.25"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</row>
    <row r="8" spans="2:14" x14ac:dyDescent="0.25">
      <c r="B8" s="2" t="s">
        <v>34</v>
      </c>
      <c r="C8" s="2" t="s">
        <v>14</v>
      </c>
      <c r="D8" s="2" t="s">
        <v>24</v>
      </c>
    </row>
    <row r="9" spans="2:14" x14ac:dyDescent="0.25">
      <c r="B9" s="2" t="s">
        <v>35</v>
      </c>
      <c r="C9" s="2" t="s">
        <v>14</v>
      </c>
      <c r="D9" s="2" t="s">
        <v>24</v>
      </c>
      <c r="E9" s="2" t="s">
        <v>36</v>
      </c>
    </row>
    <row r="10" spans="2:14" x14ac:dyDescent="0.25">
      <c r="B10" s="2" t="s">
        <v>37</v>
      </c>
      <c r="C10" s="2" t="s">
        <v>14</v>
      </c>
      <c r="D10" s="2" t="s">
        <v>24</v>
      </c>
    </row>
    <row r="11" spans="2:14" x14ac:dyDescent="0.25">
      <c r="B11" s="2" t="s">
        <v>38</v>
      </c>
      <c r="C11" s="2" t="s">
        <v>19</v>
      </c>
      <c r="D11" s="2" t="s">
        <v>14</v>
      </c>
      <c r="E11" s="2" t="s">
        <v>24</v>
      </c>
      <c r="F11" s="2" t="s">
        <v>39</v>
      </c>
      <c r="G11" s="2" t="s">
        <v>32</v>
      </c>
    </row>
    <row r="12" spans="2:14" x14ac:dyDescent="0.25">
      <c r="B12" s="2" t="s">
        <v>40</v>
      </c>
      <c r="C12" s="2" t="s">
        <v>19</v>
      </c>
      <c r="D12" s="2" t="s">
        <v>24</v>
      </c>
    </row>
    <row r="13" spans="2:14" x14ac:dyDescent="0.25">
      <c r="B13" s="2" t="s">
        <v>41</v>
      </c>
      <c r="C13" s="2" t="s">
        <v>19</v>
      </c>
      <c r="D13" s="2" t="s">
        <v>14</v>
      </c>
      <c r="E13" s="2" t="s">
        <v>24</v>
      </c>
      <c r="F13" s="2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MATÉRIA PRIMA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Dimais Corp Finance</dc:creator>
  <cp:lastModifiedBy>Dimais Corp Finance</cp:lastModifiedBy>
  <dcterms:created xsi:type="dcterms:W3CDTF">2026-03-05T18:03:15Z</dcterms:created>
  <dcterms:modified xsi:type="dcterms:W3CDTF">2026-03-05T18:20:25Z</dcterms:modified>
</cp:coreProperties>
</file>